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QASIM\Desktop\"/>
    </mc:Choice>
  </mc:AlternateContent>
  <xr:revisionPtr revIDLastSave="0" documentId="13_ncr:1_{5B35285E-8DBF-4552-B78A-963CE9BFC2CD}" xr6:coauthVersionLast="47" xr6:coauthVersionMax="47" xr10:uidLastSave="{00000000-0000-0000-0000-000000000000}"/>
  <bookViews>
    <workbookView xWindow="-120" yWindow="-120" windowWidth="17520" windowHeight="12600" xr2:uid="{7FEF2525-5E99-439D-98EF-9FDA5F4F3006}"/>
  </bookViews>
  <sheets>
    <sheet name="Sheet1" sheetId="1" r:id="rId1"/>
    <sheet name="Sheet2" sheetId="4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J5" i="1" l="1"/>
  <c r="I18" i="1"/>
  <c r="O5" i="1"/>
  <c r="O6" i="1"/>
  <c r="O7" i="1"/>
  <c r="O8" i="1"/>
  <c r="O9" i="1"/>
  <c r="O10" i="1"/>
  <c r="O11" i="1"/>
  <c r="O12" i="1"/>
  <c r="O13" i="1"/>
  <c r="O14" i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5" i="1"/>
  <c r="N5" i="1" s="1"/>
  <c r="J14" i="1"/>
  <c r="J13" i="1"/>
  <c r="J12" i="1"/>
  <c r="J11" i="1"/>
  <c r="J10" i="1"/>
  <c r="J9" i="1"/>
  <c r="J8" i="1"/>
  <c r="J7" i="1"/>
  <c r="J6" i="1"/>
  <c r="H18" i="1" l="1"/>
  <c r="G18" i="1"/>
</calcChain>
</file>

<file path=xl/sharedStrings.xml><?xml version="1.0" encoding="utf-8"?>
<sst xmlns="http://schemas.openxmlformats.org/spreadsheetml/2006/main" count="57" uniqueCount="47">
  <si>
    <t>Student Name</t>
  </si>
  <si>
    <t>Average</t>
  </si>
  <si>
    <t>Result (IF)</t>
  </si>
  <si>
    <t>MIN</t>
  </si>
  <si>
    <t>MAX</t>
  </si>
  <si>
    <t>S.NO</t>
  </si>
  <si>
    <t>ANOSHA</t>
  </si>
  <si>
    <t>ALINA</t>
  </si>
  <si>
    <t>HANIA</t>
  </si>
  <si>
    <t>SANA</t>
  </si>
  <si>
    <t>MADIHA</t>
  </si>
  <si>
    <t>MANAHIL</t>
  </si>
  <si>
    <t>HOORIA</t>
  </si>
  <si>
    <t xml:space="preserve">NASHRA </t>
  </si>
  <si>
    <t>KOSAR</t>
  </si>
  <si>
    <t>IQRA</t>
  </si>
  <si>
    <t>FATHER NAME</t>
  </si>
  <si>
    <t>ASLAM</t>
  </si>
  <si>
    <t>FAHAD</t>
  </si>
  <si>
    <t>ARIF</t>
  </si>
  <si>
    <t>ALI HASSAN</t>
  </si>
  <si>
    <t>AQIB</t>
  </si>
  <si>
    <t>JAWAID</t>
  </si>
  <si>
    <t>NADEEM</t>
  </si>
  <si>
    <t>ASIF</t>
  </si>
  <si>
    <t>MUNEER</t>
  </si>
  <si>
    <t>AZAM</t>
  </si>
  <si>
    <t>ENGLISH</t>
  </si>
  <si>
    <t>URDU</t>
  </si>
  <si>
    <t>MATH</t>
  </si>
  <si>
    <t>SCIENCE</t>
  </si>
  <si>
    <t>SST</t>
  </si>
  <si>
    <t>COUNT</t>
  </si>
  <si>
    <t>COUNTIF</t>
  </si>
  <si>
    <t>SUMIF</t>
  </si>
  <si>
    <t>SUM</t>
  </si>
  <si>
    <t>VLOOKUP</t>
  </si>
  <si>
    <t>STUDENT'S MARKSHEET</t>
  </si>
  <si>
    <t>Row Labels</t>
  </si>
  <si>
    <t>Grand Total</t>
  </si>
  <si>
    <t>Sum of ENGLISH</t>
  </si>
  <si>
    <t>Sum of URDU</t>
  </si>
  <si>
    <t>Sum of MATH</t>
  </si>
  <si>
    <t>Sum of SCIENCE</t>
  </si>
  <si>
    <t>Sum of SST</t>
  </si>
  <si>
    <t>Sum of SUM</t>
  </si>
  <si>
    <t>Sum of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</si>
</sst>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  <fill>
        <patternFill>
          <bgColor rgb="FFFF0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1B4D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STUDENT'S</a:t>
            </a:r>
            <a:r>
              <a:rPr lang="en-US" b="1" u="sng" baseline="0">
                <a:solidFill>
                  <a:sysClr val="windowText" lastClr="000000"/>
                </a:solidFill>
              </a:rPr>
              <a:t> MARKSHEET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Sheet1!$C$5:$C$14</c:f>
              <c:strCache>
                <c:ptCount val="10"/>
                <c:pt idx="0">
                  <c:v>ANOSHA</c:v>
                </c:pt>
                <c:pt idx="1">
                  <c:v>ALINA</c:v>
                </c:pt>
                <c:pt idx="2">
                  <c:v>HANIA</c:v>
                </c:pt>
                <c:pt idx="3">
                  <c:v>SANA</c:v>
                </c:pt>
                <c:pt idx="4">
                  <c:v>MADIHA</c:v>
                </c:pt>
                <c:pt idx="5">
                  <c:v>MANAHIL</c:v>
                </c:pt>
                <c:pt idx="6">
                  <c:v>HOORIA</c:v>
                </c:pt>
                <c:pt idx="7">
                  <c:v>NASHRA </c:v>
                </c:pt>
                <c:pt idx="8">
                  <c:v>KOSAR</c:v>
                </c:pt>
                <c:pt idx="9">
                  <c:v>IQRA</c:v>
                </c:pt>
              </c:strCache>
            </c:strRef>
          </c:cat>
          <c:val>
            <c:numRef>
              <c:f>Sheet1!$E$5:$E$14</c:f>
              <c:numCache>
                <c:formatCode>General</c:formatCode>
                <c:ptCount val="10"/>
                <c:pt idx="0">
                  <c:v>90</c:v>
                </c:pt>
                <c:pt idx="1">
                  <c:v>29</c:v>
                </c:pt>
                <c:pt idx="2">
                  <c:v>74</c:v>
                </c:pt>
                <c:pt idx="3">
                  <c:v>42</c:v>
                </c:pt>
                <c:pt idx="4">
                  <c:v>53</c:v>
                </c:pt>
                <c:pt idx="5">
                  <c:v>89</c:v>
                </c:pt>
                <c:pt idx="6">
                  <c:v>72</c:v>
                </c:pt>
                <c:pt idx="7">
                  <c:v>39</c:v>
                </c:pt>
                <c:pt idx="8">
                  <c:v>95</c:v>
                </c:pt>
                <c:pt idx="9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B-4AA4-954E-F4F2647CC18F}"/>
            </c:ext>
          </c:extLst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URDU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Sheet1!$C$5:$C$14</c:f>
              <c:strCache>
                <c:ptCount val="10"/>
                <c:pt idx="0">
                  <c:v>ANOSHA</c:v>
                </c:pt>
                <c:pt idx="1">
                  <c:v>ALINA</c:v>
                </c:pt>
                <c:pt idx="2">
                  <c:v>HANIA</c:v>
                </c:pt>
                <c:pt idx="3">
                  <c:v>SANA</c:v>
                </c:pt>
                <c:pt idx="4">
                  <c:v>MADIHA</c:v>
                </c:pt>
                <c:pt idx="5">
                  <c:v>MANAHIL</c:v>
                </c:pt>
                <c:pt idx="6">
                  <c:v>HOORIA</c:v>
                </c:pt>
                <c:pt idx="7">
                  <c:v>NASHRA </c:v>
                </c:pt>
                <c:pt idx="8">
                  <c:v>KOSAR</c:v>
                </c:pt>
                <c:pt idx="9">
                  <c:v>IQRA</c:v>
                </c:pt>
              </c:strCache>
            </c:strRef>
          </c:cat>
          <c:val>
            <c:numRef>
              <c:f>Sheet1!$F$5:$F$14</c:f>
              <c:numCache>
                <c:formatCode>General</c:formatCode>
                <c:ptCount val="10"/>
                <c:pt idx="0">
                  <c:v>95</c:v>
                </c:pt>
                <c:pt idx="1">
                  <c:v>53</c:v>
                </c:pt>
                <c:pt idx="2">
                  <c:v>39</c:v>
                </c:pt>
                <c:pt idx="3">
                  <c:v>66</c:v>
                </c:pt>
                <c:pt idx="4">
                  <c:v>45</c:v>
                </c:pt>
                <c:pt idx="5">
                  <c:v>84</c:v>
                </c:pt>
                <c:pt idx="6">
                  <c:v>71</c:v>
                </c:pt>
                <c:pt idx="7">
                  <c:v>52</c:v>
                </c:pt>
                <c:pt idx="8">
                  <c:v>90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B-4AA4-954E-F4F2647CC18F}"/>
            </c:ext>
          </c:extLst>
        </c:ser>
        <c:ser>
          <c:idx val="2"/>
          <c:order val="2"/>
          <c:tx>
            <c:strRef>
              <c:f>Sheet1!$G$4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Sheet1!$C$5:$C$14</c:f>
              <c:strCache>
                <c:ptCount val="10"/>
                <c:pt idx="0">
                  <c:v>ANOSHA</c:v>
                </c:pt>
                <c:pt idx="1">
                  <c:v>ALINA</c:v>
                </c:pt>
                <c:pt idx="2">
                  <c:v>HANIA</c:v>
                </c:pt>
                <c:pt idx="3">
                  <c:v>SANA</c:v>
                </c:pt>
                <c:pt idx="4">
                  <c:v>MADIHA</c:v>
                </c:pt>
                <c:pt idx="5">
                  <c:v>MANAHIL</c:v>
                </c:pt>
                <c:pt idx="6">
                  <c:v>HOORIA</c:v>
                </c:pt>
                <c:pt idx="7">
                  <c:v>NASHRA </c:v>
                </c:pt>
                <c:pt idx="8">
                  <c:v>KOSAR</c:v>
                </c:pt>
                <c:pt idx="9">
                  <c:v>IQRA</c:v>
                </c:pt>
              </c:strCache>
            </c:strRef>
          </c:cat>
          <c:val>
            <c:numRef>
              <c:f>Sheet1!$G$5:$G$14</c:f>
              <c:numCache>
                <c:formatCode>General</c:formatCode>
                <c:ptCount val="10"/>
                <c:pt idx="0">
                  <c:v>99</c:v>
                </c:pt>
                <c:pt idx="1">
                  <c:v>85</c:v>
                </c:pt>
                <c:pt idx="2">
                  <c:v>94</c:v>
                </c:pt>
                <c:pt idx="3">
                  <c:v>30</c:v>
                </c:pt>
                <c:pt idx="4">
                  <c:v>62</c:v>
                </c:pt>
                <c:pt idx="5">
                  <c:v>95</c:v>
                </c:pt>
                <c:pt idx="6">
                  <c:v>38</c:v>
                </c:pt>
                <c:pt idx="7">
                  <c:v>50</c:v>
                </c:pt>
                <c:pt idx="8">
                  <c:v>100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B-4AA4-954E-F4F2647CC18F}"/>
            </c:ext>
          </c:extLst>
        </c:ser>
        <c:ser>
          <c:idx val="3"/>
          <c:order val="3"/>
          <c:tx>
            <c:strRef>
              <c:f>Sheet1!$H$4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Sheet1!$C$5:$C$14</c:f>
              <c:strCache>
                <c:ptCount val="10"/>
                <c:pt idx="0">
                  <c:v>ANOSHA</c:v>
                </c:pt>
                <c:pt idx="1">
                  <c:v>ALINA</c:v>
                </c:pt>
                <c:pt idx="2">
                  <c:v>HANIA</c:v>
                </c:pt>
                <c:pt idx="3">
                  <c:v>SANA</c:v>
                </c:pt>
                <c:pt idx="4">
                  <c:v>MADIHA</c:v>
                </c:pt>
                <c:pt idx="5">
                  <c:v>MANAHIL</c:v>
                </c:pt>
                <c:pt idx="6">
                  <c:v>HOORIA</c:v>
                </c:pt>
                <c:pt idx="7">
                  <c:v>NASHRA </c:v>
                </c:pt>
                <c:pt idx="8">
                  <c:v>KOSAR</c:v>
                </c:pt>
                <c:pt idx="9">
                  <c:v>IQRA</c:v>
                </c:pt>
              </c:strCache>
            </c:strRef>
          </c:cat>
          <c:val>
            <c:numRef>
              <c:f>Sheet1!$H$5:$H$14</c:f>
              <c:numCache>
                <c:formatCode>General</c:formatCode>
                <c:ptCount val="10"/>
                <c:pt idx="0">
                  <c:v>96</c:v>
                </c:pt>
                <c:pt idx="1">
                  <c:v>40</c:v>
                </c:pt>
                <c:pt idx="2">
                  <c:v>59</c:v>
                </c:pt>
                <c:pt idx="3">
                  <c:v>52</c:v>
                </c:pt>
                <c:pt idx="4">
                  <c:v>44</c:v>
                </c:pt>
                <c:pt idx="5">
                  <c:v>92</c:v>
                </c:pt>
                <c:pt idx="6">
                  <c:v>49</c:v>
                </c:pt>
                <c:pt idx="7">
                  <c:v>40</c:v>
                </c:pt>
                <c:pt idx="8">
                  <c:v>94</c:v>
                </c:pt>
                <c:pt idx="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8B-4AA4-954E-F4F2647CC18F}"/>
            </c:ext>
          </c:extLst>
        </c:ser>
        <c:ser>
          <c:idx val="4"/>
          <c:order val="4"/>
          <c:tx>
            <c:strRef>
              <c:f>Sheet1!$I$4</c:f>
              <c:strCache>
                <c:ptCount val="1"/>
                <c:pt idx="0">
                  <c:v>SST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Sheet1!$C$5:$C$14</c:f>
              <c:strCache>
                <c:ptCount val="10"/>
                <c:pt idx="0">
                  <c:v>ANOSHA</c:v>
                </c:pt>
                <c:pt idx="1">
                  <c:v>ALINA</c:v>
                </c:pt>
                <c:pt idx="2">
                  <c:v>HANIA</c:v>
                </c:pt>
                <c:pt idx="3">
                  <c:v>SANA</c:v>
                </c:pt>
                <c:pt idx="4">
                  <c:v>MADIHA</c:v>
                </c:pt>
                <c:pt idx="5">
                  <c:v>MANAHIL</c:v>
                </c:pt>
                <c:pt idx="6">
                  <c:v>HOORIA</c:v>
                </c:pt>
                <c:pt idx="7">
                  <c:v>NASHRA </c:v>
                </c:pt>
                <c:pt idx="8">
                  <c:v>KOSAR</c:v>
                </c:pt>
                <c:pt idx="9">
                  <c:v>IQRA</c:v>
                </c:pt>
              </c:strCache>
            </c:strRef>
          </c:cat>
          <c:val>
            <c:numRef>
              <c:f>Sheet1!$I$5:$I$14</c:f>
              <c:numCache>
                <c:formatCode>General</c:formatCode>
                <c:ptCount val="10"/>
                <c:pt idx="0">
                  <c:v>38</c:v>
                </c:pt>
                <c:pt idx="1">
                  <c:v>25</c:v>
                </c:pt>
                <c:pt idx="2">
                  <c:v>39</c:v>
                </c:pt>
                <c:pt idx="3">
                  <c:v>52</c:v>
                </c:pt>
                <c:pt idx="4">
                  <c:v>95</c:v>
                </c:pt>
                <c:pt idx="5">
                  <c:v>47</c:v>
                </c:pt>
                <c:pt idx="6">
                  <c:v>94</c:v>
                </c:pt>
                <c:pt idx="7">
                  <c:v>58</c:v>
                </c:pt>
                <c:pt idx="8">
                  <c:v>96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8B-4AA4-954E-F4F2647CC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4613535"/>
        <c:axId val="1294637055"/>
        <c:axId val="0"/>
      </c:bar3DChart>
      <c:catAx>
        <c:axId val="129461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37055"/>
        <c:crosses val="autoZero"/>
        <c:auto val="1"/>
        <c:lblAlgn val="ctr"/>
        <c:lblOffset val="100"/>
        <c:noMultiLvlLbl val="0"/>
      </c:catAx>
      <c:valAx>
        <c:axId val="129463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1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15</xdr:row>
      <xdr:rowOff>95249</xdr:rowOff>
    </xdr:from>
    <xdr:to>
      <xdr:col>7</xdr:col>
      <xdr:colOff>552450</xdr:colOff>
      <xdr:row>31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571A7-CAD7-4389-841C-8CA73396D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ASIM" refreshedDate="46058.031312037034" createdVersion="8" refreshedVersion="8" minRefreshableVersion="3" recordCount="10" xr:uid="{0879F3D7-46D0-4F26-9D92-E2B70DC04961}">
  <cacheSource type="worksheet">
    <worksheetSource ref="C4:N14" sheet="Sheet1"/>
  </cacheSource>
  <cacheFields count="12">
    <cacheField name="Student Name" numFmtId="0">
      <sharedItems count="10">
        <s v="ANOSHA"/>
        <s v="ALINA"/>
        <s v="HANIA"/>
        <s v="SANA"/>
        <s v="MADIHA"/>
        <s v="MANAHIL"/>
        <s v="HOORIA"/>
        <s v="NASHRA "/>
        <s v="KOSAR"/>
        <s v="IQRA"/>
      </sharedItems>
    </cacheField>
    <cacheField name="FATHER NAME" numFmtId="0">
      <sharedItems/>
    </cacheField>
    <cacheField name="ENGLISH" numFmtId="0">
      <sharedItems containsSemiMixedTypes="0" containsString="0" containsNumber="1" containsInteger="1" minValue="29" maxValue="94"/>
    </cacheField>
    <cacheField name="URDU" numFmtId="0">
      <sharedItems containsSemiMixedTypes="0" containsString="0" containsNumber="1" containsInteger="1" minValue="39" maxValue="86"/>
    </cacheField>
    <cacheField name="MATH" numFmtId="0">
      <sharedItems containsSemiMixedTypes="0" containsString="0" containsNumber="1" containsInteger="1" minValue="30" maxValue="94"/>
    </cacheField>
    <cacheField name="SCIENCE" numFmtId="0">
      <sharedItems containsSemiMixedTypes="0" containsString="0" containsNumber="1" containsInteger="1" minValue="40" maxValue="97"/>
    </cacheField>
    <cacheField name="SST" numFmtId="0">
      <sharedItems containsSemiMixedTypes="0" containsString="0" containsNumber="1" containsInteger="1" minValue="25" maxValue="95"/>
    </cacheField>
    <cacheField name="SUM" numFmtId="0">
      <sharedItems containsSemiMixedTypes="0" containsString="0" containsNumber="1" containsInteger="1" minValue="232" maxValue="375"/>
    </cacheField>
    <cacheField name="Average" numFmtId="0">
      <sharedItems containsSemiMixedTypes="0" containsString="0" containsNumber="1" minValue="46.4" maxValue="75"/>
    </cacheField>
    <cacheField name="MIN" numFmtId="0">
      <sharedItems containsSemiMixedTypes="0" containsString="0" containsNumber="1" containsInteger="1" minValue="25" maxValue="63"/>
    </cacheField>
    <cacheField name="MAX" numFmtId="0">
      <sharedItems containsSemiMixedTypes="0" containsString="0" containsNumber="1" containsInteger="1" minValue="58" maxValue="97"/>
    </cacheField>
    <cacheField name="Result (IF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ASLAM"/>
    <n v="77"/>
    <n v="86"/>
    <n v="92"/>
    <n v="58"/>
    <n v="38"/>
    <n v="351"/>
    <n v="70.2"/>
    <n v="38"/>
    <n v="92"/>
    <s v="Pass"/>
  </r>
  <r>
    <x v="1"/>
    <s v="FAHAD"/>
    <n v="29"/>
    <n v="53"/>
    <n v="85"/>
    <n v="40"/>
    <n v="25"/>
    <n v="232"/>
    <n v="46.4"/>
    <n v="25"/>
    <n v="85"/>
    <s v="Fail"/>
  </r>
  <r>
    <x v="2"/>
    <s v="ARIF"/>
    <n v="74"/>
    <n v="39"/>
    <n v="94"/>
    <n v="59"/>
    <n v="39"/>
    <n v="305"/>
    <n v="61"/>
    <n v="39"/>
    <n v="94"/>
    <s v="Pass"/>
  </r>
  <r>
    <x v="3"/>
    <s v="ALI HASSAN"/>
    <n v="42"/>
    <n v="66"/>
    <n v="30"/>
    <n v="52"/>
    <n v="52"/>
    <n v="242"/>
    <n v="48.4"/>
    <n v="30"/>
    <n v="66"/>
    <s v="Fail"/>
  </r>
  <r>
    <x v="4"/>
    <s v="AQIB"/>
    <n v="53"/>
    <n v="45"/>
    <n v="62"/>
    <n v="44"/>
    <n v="95"/>
    <n v="299"/>
    <n v="59.8"/>
    <n v="44"/>
    <n v="95"/>
    <s v="Pass"/>
  </r>
  <r>
    <x v="5"/>
    <s v="JAWAID"/>
    <n v="65"/>
    <n v="49"/>
    <n v="84"/>
    <n v="50"/>
    <n v="47"/>
    <n v="295"/>
    <n v="59"/>
    <n v="47"/>
    <n v="84"/>
    <s v="Pass"/>
  </r>
  <r>
    <x v="6"/>
    <s v="NADEEM"/>
    <n v="72"/>
    <n v="71"/>
    <n v="38"/>
    <n v="49"/>
    <n v="94"/>
    <n v="324"/>
    <n v="64.8"/>
    <n v="38"/>
    <n v="94"/>
    <s v="Pass"/>
  </r>
  <r>
    <x v="7"/>
    <s v="ASIF"/>
    <n v="39"/>
    <n v="52"/>
    <n v="50"/>
    <n v="40"/>
    <n v="58"/>
    <n v="239"/>
    <n v="47.8"/>
    <n v="39"/>
    <n v="58"/>
    <s v="Fail"/>
  </r>
  <r>
    <x v="8"/>
    <s v="MUNEER"/>
    <n v="94"/>
    <n v="69"/>
    <n v="74"/>
    <n v="75"/>
    <n v="63"/>
    <n v="375"/>
    <n v="75"/>
    <n v="63"/>
    <n v="94"/>
    <s v="Pass"/>
  </r>
  <r>
    <x v="9"/>
    <s v="AZAM"/>
    <n v="64"/>
    <n v="48"/>
    <n v="89"/>
    <n v="97"/>
    <n v="48"/>
    <n v="346"/>
    <n v="69.2"/>
    <n v="48"/>
    <n v="97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AB10B-D23E-4E80-9B42-593F26BDED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I14" firstHeaderRow="0" firstDataRow="1" firstDataCol="1"/>
  <pivotFields count="12">
    <pivotField axis="axisRow" showAll="0">
      <items count="11">
        <item x="1"/>
        <item x="0"/>
        <item x="2"/>
        <item x="6"/>
        <item x="9"/>
        <item x="8"/>
        <item x="4"/>
        <item x="5"/>
        <item x="7"/>
        <item x="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ENGLISH" fld="2" baseField="0" baseItem="0"/>
    <dataField name="Sum of URDU" fld="3" baseField="0" baseItem="0"/>
    <dataField name="Sum of MATH" fld="4" baseField="0" baseItem="0"/>
    <dataField name="Sum of SCIENCE" fld="5" baseField="0" baseItem="0"/>
    <dataField name="Sum of SST" fld="6" baseField="0" baseItem="0"/>
    <dataField name="Sum of SUM" fld="7" baseField="0" baseItem="0"/>
    <dataField name="Sum of Average" fld="8" baseField="0" baseItem="0"/>
  </dataFields>
  <formats count="18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41A2-ECD3-421A-B593-8ADE56FB106C}">
  <dimension ref="B2:S66"/>
  <sheetViews>
    <sheetView tabSelected="1" zoomScale="90" zoomScaleNormal="90" workbookViewId="0">
      <selection activeCell="B2" sqref="B2:O3"/>
    </sheetView>
  </sheetViews>
  <sheetFormatPr defaultRowHeight="15" x14ac:dyDescent="0.25"/>
  <cols>
    <col min="3" max="3" width="14.7109375" customWidth="1"/>
    <col min="4" max="4" width="14.5703125" customWidth="1"/>
    <col min="5" max="5" width="15.7109375" customWidth="1"/>
    <col min="6" max="6" width="12.85546875" customWidth="1"/>
    <col min="7" max="7" width="13.5703125" customWidth="1"/>
    <col min="8" max="8" width="15.28515625" customWidth="1"/>
    <col min="9" max="9" width="12.28515625" customWidth="1"/>
    <col min="10" max="10" width="13" customWidth="1"/>
    <col min="11" max="11" width="15.5703125" customWidth="1"/>
    <col min="12" max="13" width="8.28515625" customWidth="1"/>
    <col min="14" max="14" width="11" customWidth="1"/>
    <col min="15" max="15" width="12.5703125" customWidth="1"/>
    <col min="16" max="16" width="10.7109375" customWidth="1"/>
    <col min="18" max="18" width="11.85546875" customWidth="1"/>
  </cols>
  <sheetData>
    <row r="2" spans="2:19" ht="15" customHeight="1" x14ac:dyDescent="0.25">
      <c r="B2" s="7" t="s">
        <v>37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4"/>
      <c r="Q2" s="1"/>
      <c r="R2" s="1"/>
      <c r="S2" s="1"/>
    </row>
    <row r="3" spans="2:19" ht="32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4"/>
      <c r="Q3" s="1"/>
      <c r="R3" s="1"/>
      <c r="S3" s="1"/>
    </row>
    <row r="4" spans="2:19" ht="34.5" customHeight="1" x14ac:dyDescent="0.25">
      <c r="B4" s="10" t="s">
        <v>5</v>
      </c>
      <c r="C4" s="11" t="s">
        <v>0</v>
      </c>
      <c r="D4" s="11" t="s">
        <v>16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31</v>
      </c>
      <c r="J4" s="11" t="s">
        <v>35</v>
      </c>
      <c r="K4" s="11" t="s">
        <v>1</v>
      </c>
      <c r="L4" s="11" t="s">
        <v>3</v>
      </c>
      <c r="M4" s="11" t="s">
        <v>4</v>
      </c>
      <c r="N4" s="11" t="s">
        <v>2</v>
      </c>
      <c r="O4" s="11" t="s">
        <v>32</v>
      </c>
      <c r="S4" s="2"/>
    </row>
    <row r="5" spans="2:19" x14ac:dyDescent="0.25">
      <c r="B5" s="12">
        <v>1</v>
      </c>
      <c r="C5" s="13" t="s">
        <v>6</v>
      </c>
      <c r="D5" s="13" t="s">
        <v>17</v>
      </c>
      <c r="E5" s="13">
        <v>90</v>
      </c>
      <c r="F5" s="13">
        <v>95</v>
      </c>
      <c r="G5" s="13">
        <v>99</v>
      </c>
      <c r="H5" s="13">
        <v>96</v>
      </c>
      <c r="I5" s="13">
        <v>38</v>
      </c>
      <c r="J5" s="13">
        <f>SUM(E5:I5)</f>
        <v>418</v>
      </c>
      <c r="K5" s="13">
        <f>AVERAGE(E5:I5)</f>
        <v>83.6</v>
      </c>
      <c r="L5" s="13">
        <f>MIN(E5:I5)</f>
        <v>38</v>
      </c>
      <c r="M5" s="13">
        <f>MAX(E5:I5)</f>
        <v>99</v>
      </c>
      <c r="N5" s="13" t="str">
        <f>IF(K5&gt;=50,"Pass","Fail")</f>
        <v>Pass</v>
      </c>
      <c r="O5" s="13">
        <f>COUNT(E5:I5)</f>
        <v>5</v>
      </c>
      <c r="S5" s="2"/>
    </row>
    <row r="6" spans="2:19" x14ac:dyDescent="0.25">
      <c r="B6" s="12">
        <v>2</v>
      </c>
      <c r="C6" s="13" t="s">
        <v>7</v>
      </c>
      <c r="D6" s="13" t="s">
        <v>18</v>
      </c>
      <c r="E6" s="13">
        <v>29</v>
      </c>
      <c r="F6" s="13">
        <v>53</v>
      </c>
      <c r="G6" s="13">
        <v>85</v>
      </c>
      <c r="H6" s="13">
        <v>40</v>
      </c>
      <c r="I6" s="13">
        <v>25</v>
      </c>
      <c r="J6" s="13">
        <f t="shared" ref="J6:J14" si="0">SUM(E6:I6)</f>
        <v>232</v>
      </c>
      <c r="K6" s="13">
        <f t="shared" ref="K6:K14" si="1">AVERAGE(E6:I6)</f>
        <v>46.4</v>
      </c>
      <c r="L6" s="13">
        <f t="shared" ref="L6:L14" si="2">MIN(E6:I6)</f>
        <v>25</v>
      </c>
      <c r="M6" s="13">
        <f t="shared" ref="M6:M14" si="3">MAX(E6:I6)</f>
        <v>85</v>
      </c>
      <c r="N6" s="13" t="str">
        <f t="shared" ref="N6:N14" si="4">IF(K6&gt;=50,"Pass","Fail")</f>
        <v>Fail</v>
      </c>
      <c r="O6" s="13">
        <f t="shared" ref="O6:O14" si="5">COUNT(E6:I6)</f>
        <v>5</v>
      </c>
      <c r="P6" s="3"/>
      <c r="Q6" s="3"/>
      <c r="R6" s="3"/>
      <c r="S6" s="2"/>
    </row>
    <row r="7" spans="2:19" x14ac:dyDescent="0.25">
      <c r="B7" s="12">
        <v>3</v>
      </c>
      <c r="C7" s="13" t="s">
        <v>8</v>
      </c>
      <c r="D7" s="13" t="s">
        <v>19</v>
      </c>
      <c r="E7" s="13">
        <v>74</v>
      </c>
      <c r="F7" s="13">
        <v>39</v>
      </c>
      <c r="G7" s="13">
        <v>94</v>
      </c>
      <c r="H7" s="13">
        <v>59</v>
      </c>
      <c r="I7" s="13">
        <v>39</v>
      </c>
      <c r="J7" s="13">
        <f t="shared" si="0"/>
        <v>305</v>
      </c>
      <c r="K7" s="13">
        <f t="shared" si="1"/>
        <v>61</v>
      </c>
      <c r="L7" s="13">
        <f t="shared" si="2"/>
        <v>39</v>
      </c>
      <c r="M7" s="13">
        <f t="shared" si="3"/>
        <v>94</v>
      </c>
      <c r="N7" s="13" t="str">
        <f t="shared" si="4"/>
        <v>Pass</v>
      </c>
      <c r="O7" s="13">
        <f t="shared" si="5"/>
        <v>5</v>
      </c>
      <c r="P7" s="3"/>
      <c r="Q7" s="3"/>
      <c r="R7" s="3"/>
      <c r="S7" s="2"/>
    </row>
    <row r="8" spans="2:19" x14ac:dyDescent="0.25">
      <c r="B8" s="12">
        <v>4</v>
      </c>
      <c r="C8" s="13" t="s">
        <v>9</v>
      </c>
      <c r="D8" s="13" t="s">
        <v>20</v>
      </c>
      <c r="E8" s="13">
        <v>42</v>
      </c>
      <c r="F8" s="13">
        <v>66</v>
      </c>
      <c r="G8" s="13">
        <v>30</v>
      </c>
      <c r="H8" s="13">
        <v>52</v>
      </c>
      <c r="I8" s="13">
        <v>52</v>
      </c>
      <c r="J8" s="13">
        <f t="shared" si="0"/>
        <v>242</v>
      </c>
      <c r="K8" s="13">
        <f t="shared" si="1"/>
        <v>48.4</v>
      </c>
      <c r="L8" s="13">
        <f t="shared" si="2"/>
        <v>30</v>
      </c>
      <c r="M8" s="13">
        <f t="shared" si="3"/>
        <v>66</v>
      </c>
      <c r="N8" s="13" t="str">
        <f t="shared" si="4"/>
        <v>Fail</v>
      </c>
      <c r="O8" s="13">
        <f t="shared" si="5"/>
        <v>5</v>
      </c>
      <c r="P8" s="3"/>
      <c r="Q8" s="3"/>
      <c r="R8" s="3"/>
      <c r="S8" s="2"/>
    </row>
    <row r="9" spans="2:19" x14ac:dyDescent="0.25">
      <c r="B9" s="12">
        <v>5</v>
      </c>
      <c r="C9" s="13" t="s">
        <v>10</v>
      </c>
      <c r="D9" s="13" t="s">
        <v>21</v>
      </c>
      <c r="E9" s="13">
        <v>53</v>
      </c>
      <c r="F9" s="13">
        <v>45</v>
      </c>
      <c r="G9" s="13">
        <v>62</v>
      </c>
      <c r="H9" s="13">
        <v>44</v>
      </c>
      <c r="I9" s="13">
        <v>95</v>
      </c>
      <c r="J9" s="13">
        <f t="shared" si="0"/>
        <v>299</v>
      </c>
      <c r="K9" s="13">
        <f t="shared" si="1"/>
        <v>59.8</v>
      </c>
      <c r="L9" s="13">
        <f t="shared" si="2"/>
        <v>44</v>
      </c>
      <c r="M9" s="13">
        <f t="shared" si="3"/>
        <v>95</v>
      </c>
      <c r="N9" s="13" t="str">
        <f t="shared" si="4"/>
        <v>Pass</v>
      </c>
      <c r="O9" s="13">
        <f>COUNT(E9:I9)</f>
        <v>5</v>
      </c>
      <c r="P9" s="3"/>
      <c r="Q9" s="3"/>
      <c r="R9" s="3"/>
      <c r="S9" s="2"/>
    </row>
    <row r="10" spans="2:19" x14ac:dyDescent="0.25">
      <c r="B10" s="12">
        <v>6</v>
      </c>
      <c r="C10" s="13" t="s">
        <v>11</v>
      </c>
      <c r="D10" s="13" t="s">
        <v>22</v>
      </c>
      <c r="E10" s="13">
        <v>89</v>
      </c>
      <c r="F10" s="13">
        <v>84</v>
      </c>
      <c r="G10" s="13">
        <v>95</v>
      </c>
      <c r="H10" s="13">
        <v>92</v>
      </c>
      <c r="I10" s="13">
        <v>47</v>
      </c>
      <c r="J10" s="13">
        <f t="shared" si="0"/>
        <v>407</v>
      </c>
      <c r="K10" s="13">
        <f t="shared" si="1"/>
        <v>81.400000000000006</v>
      </c>
      <c r="L10" s="13">
        <f t="shared" si="2"/>
        <v>47</v>
      </c>
      <c r="M10" s="13">
        <f t="shared" si="3"/>
        <v>95</v>
      </c>
      <c r="N10" s="13" t="str">
        <f t="shared" si="4"/>
        <v>Pass</v>
      </c>
      <c r="O10" s="13">
        <f t="shared" si="5"/>
        <v>5</v>
      </c>
      <c r="P10" s="3"/>
      <c r="Q10" s="3"/>
      <c r="R10" s="3"/>
      <c r="S10" s="2"/>
    </row>
    <row r="11" spans="2:19" x14ac:dyDescent="0.25">
      <c r="B11" s="12">
        <v>7</v>
      </c>
      <c r="C11" s="13" t="s">
        <v>12</v>
      </c>
      <c r="D11" s="13" t="s">
        <v>23</v>
      </c>
      <c r="E11" s="13">
        <v>72</v>
      </c>
      <c r="F11" s="13">
        <v>71</v>
      </c>
      <c r="G11" s="13">
        <v>38</v>
      </c>
      <c r="H11" s="13">
        <v>49</v>
      </c>
      <c r="I11" s="13">
        <v>94</v>
      </c>
      <c r="J11" s="13">
        <f t="shared" si="0"/>
        <v>324</v>
      </c>
      <c r="K11" s="13">
        <f t="shared" si="1"/>
        <v>64.8</v>
      </c>
      <c r="L11" s="13">
        <f t="shared" si="2"/>
        <v>38</v>
      </c>
      <c r="M11" s="13">
        <f t="shared" si="3"/>
        <v>94</v>
      </c>
      <c r="N11" s="13" t="str">
        <f t="shared" si="4"/>
        <v>Pass</v>
      </c>
      <c r="O11" s="13">
        <f t="shared" si="5"/>
        <v>5</v>
      </c>
      <c r="P11" s="3"/>
      <c r="Q11" s="3"/>
      <c r="R11" s="3"/>
      <c r="S11" s="2"/>
    </row>
    <row r="12" spans="2:19" x14ac:dyDescent="0.25">
      <c r="B12" s="12">
        <v>8</v>
      </c>
      <c r="C12" s="13" t="s">
        <v>13</v>
      </c>
      <c r="D12" s="13" t="s">
        <v>24</v>
      </c>
      <c r="E12" s="13">
        <v>39</v>
      </c>
      <c r="F12" s="13">
        <v>52</v>
      </c>
      <c r="G12" s="13">
        <v>50</v>
      </c>
      <c r="H12" s="13">
        <v>40</v>
      </c>
      <c r="I12" s="13">
        <v>58</v>
      </c>
      <c r="J12" s="13">
        <f t="shared" si="0"/>
        <v>239</v>
      </c>
      <c r="K12" s="13">
        <f t="shared" si="1"/>
        <v>47.8</v>
      </c>
      <c r="L12" s="13">
        <f t="shared" si="2"/>
        <v>39</v>
      </c>
      <c r="M12" s="13">
        <f t="shared" si="3"/>
        <v>58</v>
      </c>
      <c r="N12" s="13" t="str">
        <f t="shared" si="4"/>
        <v>Fail</v>
      </c>
      <c r="O12" s="13">
        <f t="shared" si="5"/>
        <v>5</v>
      </c>
      <c r="P12" s="3"/>
      <c r="Q12" s="3"/>
      <c r="R12" s="3"/>
      <c r="S12" s="2"/>
    </row>
    <row r="13" spans="2:19" x14ac:dyDescent="0.25">
      <c r="B13" s="12">
        <v>9</v>
      </c>
      <c r="C13" s="13" t="s">
        <v>14</v>
      </c>
      <c r="D13" s="13" t="s">
        <v>25</v>
      </c>
      <c r="E13" s="13">
        <v>95</v>
      </c>
      <c r="F13" s="13">
        <v>90</v>
      </c>
      <c r="G13" s="16">
        <v>100</v>
      </c>
      <c r="H13" s="16">
        <v>94</v>
      </c>
      <c r="I13" s="13">
        <v>96</v>
      </c>
      <c r="J13" s="13">
        <f t="shared" si="0"/>
        <v>475</v>
      </c>
      <c r="K13" s="13">
        <f t="shared" si="1"/>
        <v>95</v>
      </c>
      <c r="L13" s="13">
        <f t="shared" si="2"/>
        <v>90</v>
      </c>
      <c r="M13" s="13">
        <f t="shared" si="3"/>
        <v>100</v>
      </c>
      <c r="N13" s="13" t="str">
        <f>IF(K13&gt;=50,"Pass","Fail")</f>
        <v>Pass</v>
      </c>
      <c r="O13" s="13">
        <f t="shared" si="5"/>
        <v>5</v>
      </c>
      <c r="P13" s="3"/>
      <c r="Q13" s="3"/>
      <c r="R13" s="3"/>
      <c r="S13" s="2"/>
    </row>
    <row r="14" spans="2:19" x14ac:dyDescent="0.25">
      <c r="B14" s="12">
        <v>10</v>
      </c>
      <c r="C14" s="13" t="s">
        <v>15</v>
      </c>
      <c r="D14" s="13" t="s">
        <v>26</v>
      </c>
      <c r="E14" s="13">
        <v>64</v>
      </c>
      <c r="F14" s="19">
        <v>48</v>
      </c>
      <c r="G14" s="13">
        <v>89</v>
      </c>
      <c r="H14" s="13">
        <v>97</v>
      </c>
      <c r="I14" s="20">
        <v>48</v>
      </c>
      <c r="J14" s="13">
        <f t="shared" si="0"/>
        <v>346</v>
      </c>
      <c r="K14" s="13">
        <f t="shared" si="1"/>
        <v>69.2</v>
      </c>
      <c r="L14" s="13">
        <f t="shared" si="2"/>
        <v>48</v>
      </c>
      <c r="M14" s="13">
        <f t="shared" si="3"/>
        <v>97</v>
      </c>
      <c r="N14" s="13" t="str">
        <f t="shared" si="4"/>
        <v>Pass</v>
      </c>
      <c r="O14" s="13">
        <f t="shared" si="5"/>
        <v>5</v>
      </c>
      <c r="P14" s="3"/>
      <c r="Q14" s="3"/>
      <c r="R14" s="3"/>
      <c r="S14" s="2"/>
    </row>
    <row r="15" spans="2:19" x14ac:dyDescent="0.25">
      <c r="G15" s="17"/>
      <c r="H15" s="18"/>
    </row>
    <row r="17" spans="7:9" x14ac:dyDescent="0.25">
      <c r="G17" s="14" t="s">
        <v>33</v>
      </c>
      <c r="H17" s="14" t="s">
        <v>34</v>
      </c>
      <c r="I17" s="15" t="s">
        <v>36</v>
      </c>
    </row>
    <row r="18" spans="7:9" x14ac:dyDescent="0.25">
      <c r="G18" s="13">
        <f>COUNTIF(N5:N14,"Pass")</f>
        <v>7</v>
      </c>
      <c r="H18" s="13">
        <f>SUMIF(J5:J14,"&gt;250",J5:J14)</f>
        <v>2574</v>
      </c>
      <c r="I18" s="13">
        <f>VLOOKUP(C11,C5:N14,3,FALSE)</f>
        <v>72</v>
      </c>
    </row>
    <row r="58" spans="18:19" x14ac:dyDescent="0.25">
      <c r="R58" s="2"/>
    </row>
    <row r="59" spans="18:19" x14ac:dyDescent="0.25">
      <c r="R59" s="2"/>
    </row>
    <row r="60" spans="18:19" x14ac:dyDescent="0.25">
      <c r="S60" s="2"/>
    </row>
    <row r="61" spans="18:19" x14ac:dyDescent="0.25">
      <c r="S61" s="2"/>
    </row>
    <row r="62" spans="18:19" x14ac:dyDescent="0.25">
      <c r="S62" s="2"/>
    </row>
    <row r="63" spans="18:19" x14ac:dyDescent="0.25">
      <c r="S63" s="2"/>
    </row>
    <row r="64" spans="18:19" x14ac:dyDescent="0.25">
      <c r="S64" s="2"/>
    </row>
    <row r="65" spans="19:19" x14ac:dyDescent="0.25">
      <c r="S65" s="2"/>
    </row>
    <row r="66" spans="19:19" x14ac:dyDescent="0.25">
      <c r="S66" s="2"/>
    </row>
  </sheetData>
  <mergeCells count="1">
    <mergeCell ref="B2:O3"/>
  </mergeCells>
  <conditionalFormatting sqref="E5:I14">
    <cfRule type="cellIs" dxfId="21" priority="4" operator="lessThan">
      <formula>50</formula>
    </cfRule>
    <cfRule type="cellIs" dxfId="20" priority="2" operator="between">
      <formula>50</formula>
      <formula>80</formula>
    </cfRule>
    <cfRule type="cellIs" dxfId="18" priority="1" operator="greaterThan">
      <formula>80</formula>
    </cfRule>
  </conditionalFormatting>
  <conditionalFormatting sqref="J13">
    <cfRule type="cellIs" dxfId="19" priority="3" operator="between">
      <formula>50</formula>
      <formula>80</formula>
    </cfRule>
  </conditionalFormatting>
  <dataValidations count="1">
    <dataValidation type="whole" allowBlank="1" showInputMessage="1" showErrorMessage="1" error="Please input the number between (0 - 100)" sqref="E5:I14" xr:uid="{936F1132-23C7-4062-8492-64A58E69FF43}">
      <formula1>0</formula1>
      <formula2>100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E148-7621-4DA3-A1E8-4D3737B814C5}">
  <dimension ref="B3:I14"/>
  <sheetViews>
    <sheetView workbookViewId="0">
      <selection activeCell="I24" sqref="I24"/>
    </sheetView>
  </sheetViews>
  <sheetFormatPr defaultRowHeight="15" x14ac:dyDescent="0.25"/>
  <cols>
    <col min="2" max="2" width="16.5703125" customWidth="1"/>
    <col min="3" max="3" width="17.42578125" customWidth="1"/>
    <col min="4" max="4" width="16.5703125" customWidth="1"/>
    <col min="5" max="5" width="15.28515625" customWidth="1"/>
    <col min="6" max="6" width="17" customWidth="1"/>
    <col min="7" max="7" width="12.85546875" customWidth="1"/>
    <col min="8" max="8" width="13.85546875" customWidth="1"/>
    <col min="9" max="9" width="16.140625" customWidth="1"/>
  </cols>
  <sheetData>
    <row r="3" spans="2:9" x14ac:dyDescent="0.25">
      <c r="B3" s="5" t="s">
        <v>38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</row>
    <row r="4" spans="2:9" x14ac:dyDescent="0.25">
      <c r="B4" s="6" t="s">
        <v>7</v>
      </c>
      <c r="C4" s="6">
        <v>29</v>
      </c>
      <c r="D4" s="6">
        <v>53</v>
      </c>
      <c r="E4" s="6">
        <v>85</v>
      </c>
      <c r="F4" s="6">
        <v>40</v>
      </c>
      <c r="G4" s="6">
        <v>25</v>
      </c>
      <c r="H4" s="6">
        <v>232</v>
      </c>
      <c r="I4" s="6">
        <v>46.4</v>
      </c>
    </row>
    <row r="5" spans="2:9" x14ac:dyDescent="0.25">
      <c r="B5" s="6" t="s">
        <v>6</v>
      </c>
      <c r="C5" s="6">
        <v>77</v>
      </c>
      <c r="D5" s="6">
        <v>86</v>
      </c>
      <c r="E5" s="6">
        <v>92</v>
      </c>
      <c r="F5" s="6">
        <v>58</v>
      </c>
      <c r="G5" s="6">
        <v>38</v>
      </c>
      <c r="H5" s="6">
        <v>351</v>
      </c>
      <c r="I5" s="6">
        <v>70.2</v>
      </c>
    </row>
    <row r="6" spans="2:9" x14ac:dyDescent="0.25">
      <c r="B6" s="6" t="s">
        <v>8</v>
      </c>
      <c r="C6" s="6">
        <v>74</v>
      </c>
      <c r="D6" s="6">
        <v>39</v>
      </c>
      <c r="E6" s="6">
        <v>94</v>
      </c>
      <c r="F6" s="6">
        <v>59</v>
      </c>
      <c r="G6" s="6">
        <v>39</v>
      </c>
      <c r="H6" s="6">
        <v>305</v>
      </c>
      <c r="I6" s="6">
        <v>61</v>
      </c>
    </row>
    <row r="7" spans="2:9" x14ac:dyDescent="0.25">
      <c r="B7" s="6" t="s">
        <v>12</v>
      </c>
      <c r="C7" s="6">
        <v>72</v>
      </c>
      <c r="D7" s="6">
        <v>71</v>
      </c>
      <c r="E7" s="6">
        <v>38</v>
      </c>
      <c r="F7" s="6">
        <v>49</v>
      </c>
      <c r="G7" s="6">
        <v>94</v>
      </c>
      <c r="H7" s="6">
        <v>324</v>
      </c>
      <c r="I7" s="6">
        <v>64.8</v>
      </c>
    </row>
    <row r="8" spans="2:9" x14ac:dyDescent="0.25">
      <c r="B8" s="6" t="s">
        <v>15</v>
      </c>
      <c r="C8" s="6">
        <v>64</v>
      </c>
      <c r="D8" s="6">
        <v>48</v>
      </c>
      <c r="E8" s="6">
        <v>89</v>
      </c>
      <c r="F8" s="6">
        <v>97</v>
      </c>
      <c r="G8" s="6">
        <v>48</v>
      </c>
      <c r="H8" s="6">
        <v>346</v>
      </c>
      <c r="I8" s="6">
        <v>69.2</v>
      </c>
    </row>
    <row r="9" spans="2:9" x14ac:dyDescent="0.25">
      <c r="B9" s="6" t="s">
        <v>14</v>
      </c>
      <c r="C9" s="6">
        <v>94</v>
      </c>
      <c r="D9" s="6">
        <v>69</v>
      </c>
      <c r="E9" s="6">
        <v>74</v>
      </c>
      <c r="F9" s="6">
        <v>75</v>
      </c>
      <c r="G9" s="6">
        <v>63</v>
      </c>
      <c r="H9" s="6">
        <v>375</v>
      </c>
      <c r="I9" s="6">
        <v>75</v>
      </c>
    </row>
    <row r="10" spans="2:9" x14ac:dyDescent="0.25">
      <c r="B10" s="6" t="s">
        <v>10</v>
      </c>
      <c r="C10" s="6">
        <v>53</v>
      </c>
      <c r="D10" s="6">
        <v>45</v>
      </c>
      <c r="E10" s="6">
        <v>62</v>
      </c>
      <c r="F10" s="6">
        <v>44</v>
      </c>
      <c r="G10" s="6">
        <v>95</v>
      </c>
      <c r="H10" s="6">
        <v>299</v>
      </c>
      <c r="I10" s="6">
        <v>59.8</v>
      </c>
    </row>
    <row r="11" spans="2:9" x14ac:dyDescent="0.25">
      <c r="B11" s="6" t="s">
        <v>11</v>
      </c>
      <c r="C11" s="6">
        <v>65</v>
      </c>
      <c r="D11" s="6">
        <v>49</v>
      </c>
      <c r="E11" s="6">
        <v>84</v>
      </c>
      <c r="F11" s="6">
        <v>50</v>
      </c>
      <c r="G11" s="6">
        <v>47</v>
      </c>
      <c r="H11" s="6">
        <v>295</v>
      </c>
      <c r="I11" s="6">
        <v>59</v>
      </c>
    </row>
    <row r="12" spans="2:9" x14ac:dyDescent="0.25">
      <c r="B12" s="6" t="s">
        <v>13</v>
      </c>
      <c r="C12" s="6">
        <v>39</v>
      </c>
      <c r="D12" s="6">
        <v>52</v>
      </c>
      <c r="E12" s="6">
        <v>50</v>
      </c>
      <c r="F12" s="6">
        <v>40</v>
      </c>
      <c r="G12" s="6">
        <v>58</v>
      </c>
      <c r="H12" s="6">
        <v>239</v>
      </c>
      <c r="I12" s="6">
        <v>47.8</v>
      </c>
    </row>
    <row r="13" spans="2:9" x14ac:dyDescent="0.25">
      <c r="B13" s="6" t="s">
        <v>9</v>
      </c>
      <c r="C13" s="6">
        <v>42</v>
      </c>
      <c r="D13" s="6">
        <v>66</v>
      </c>
      <c r="E13" s="6">
        <v>30</v>
      </c>
      <c r="F13" s="6">
        <v>52</v>
      </c>
      <c r="G13" s="6">
        <v>52</v>
      </c>
      <c r="H13" s="6">
        <v>242</v>
      </c>
      <c r="I13" s="6">
        <v>48.4</v>
      </c>
    </row>
    <row r="14" spans="2:9" x14ac:dyDescent="0.25">
      <c r="B14" s="6" t="s">
        <v>39</v>
      </c>
      <c r="C14" s="6">
        <v>609</v>
      </c>
      <c r="D14" s="6">
        <v>578</v>
      </c>
      <c r="E14" s="6">
        <v>698</v>
      </c>
      <c r="F14" s="6">
        <v>564</v>
      </c>
      <c r="G14" s="6">
        <v>559</v>
      </c>
      <c r="H14" s="6">
        <v>3008</v>
      </c>
      <c r="I14" s="6">
        <v>601.59999999999991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QASIM</dc:creator>
  <cp:lastModifiedBy>QASIM</cp:lastModifiedBy>
  <dcterms:created xsi:type="dcterms:W3CDTF">2026-02-04T02:44:48Z</dcterms:created>
  <dcterms:modified xsi:type="dcterms:W3CDTF">2026-02-04T21:16:50Z</dcterms:modified>
</cp:coreProperties>
</file>